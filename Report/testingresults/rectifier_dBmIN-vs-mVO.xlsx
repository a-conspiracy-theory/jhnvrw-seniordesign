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w\Documents\GitHub\jhnvrw-seniordesign\Report\testingresults\"/>
    </mc:Choice>
  </mc:AlternateContent>
  <xr:revisionPtr revIDLastSave="0" documentId="13_ncr:1_{E2FFBEF2-75D7-4EF5-A118-5AC955D7AC79}" xr6:coauthVersionLast="47" xr6:coauthVersionMax="47" xr10:uidLastSave="{00000000-0000-0000-0000-000000000000}"/>
  <bookViews>
    <workbookView xWindow="-110" yWindow="-110" windowWidth="25820" windowHeight="16220" xr2:uid="{F6DAD5CA-B263-4E57-956D-20EBB6E45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D3" i="1"/>
  <c r="D4" i="1"/>
  <c r="D5" i="1"/>
  <c r="D6" i="1"/>
  <c r="D7" i="1"/>
  <c r="D8" i="1"/>
  <c r="D9" i="1"/>
  <c r="D10" i="1"/>
  <c r="E2" i="1"/>
  <c r="D2" i="1"/>
</calcChain>
</file>

<file path=xl/sharedStrings.xml><?xml version="1.0" encoding="utf-8"?>
<sst xmlns="http://schemas.openxmlformats.org/spreadsheetml/2006/main" count="5" uniqueCount="4">
  <si>
    <t>pwr_in (dBm)</t>
  </si>
  <si>
    <t>n/a</t>
  </si>
  <si>
    <t>Vo, loaded</t>
  </si>
  <si>
    <t>Vo, unloaded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</si>
</sst>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Power In</a:t>
            </a:r>
            <a:r>
              <a:rPr lang="en-US" sz="1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VS Output Voltage</a:t>
            </a:r>
            <a:endPara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0603674540684"/>
          <c:y val="0.17171296296296296"/>
          <c:w val="0.81873840769903761"/>
          <c:h val="0.57453841525623262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Vo, unloaded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-30</c:v>
                </c:pt>
                <c:pt idx="1">
                  <c:v>-27</c:v>
                </c:pt>
                <c:pt idx="2">
                  <c:v>-24</c:v>
                </c:pt>
                <c:pt idx="3">
                  <c:v>-21</c:v>
                </c:pt>
                <c:pt idx="4">
                  <c:v>-18</c:v>
                </c:pt>
                <c:pt idx="5">
                  <c:v>-15</c:v>
                </c:pt>
                <c:pt idx="6">
                  <c:v>-12</c:v>
                </c:pt>
                <c:pt idx="7">
                  <c:v>-9</c:v>
                </c:pt>
                <c:pt idx="8">
                  <c:v>-6</c:v>
                </c:pt>
                <c:pt idx="9">
                  <c:v>-3</c:v>
                </c:pt>
                <c:pt idx="10">
                  <c:v>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21.583624920952499</c:v>
                </c:pt>
                <c:pt idx="1">
                  <c:v>26.848453616444125</c:v>
                </c:pt>
                <c:pt idx="2">
                  <c:v>32.464985807958008</c:v>
                </c:pt>
                <c:pt idx="3">
                  <c:v>37.025166974381506</c:v>
                </c:pt>
                <c:pt idx="4">
                  <c:v>41.798102228787961</c:v>
                </c:pt>
                <c:pt idx="5">
                  <c:v>46.235077221115084</c:v>
                </c:pt>
                <c:pt idx="6">
                  <c:v>49.542425094393252</c:v>
                </c:pt>
                <c:pt idx="7">
                  <c:v>53.979400086720375</c:v>
                </c:pt>
                <c:pt idx="8">
                  <c:v>57.025166974381506</c:v>
                </c:pt>
                <c:pt idx="9">
                  <c:v>61.213956807072236</c:v>
                </c:pt>
                <c:pt idx="10">
                  <c:v>64.027942486409032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6-4E32-8F05-DB50C90DD24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Vo, loaded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-30</c:v>
                </c:pt>
                <c:pt idx="1">
                  <c:v>-27</c:v>
                </c:pt>
                <c:pt idx="2">
                  <c:v>-24</c:v>
                </c:pt>
                <c:pt idx="3">
                  <c:v>-21</c:v>
                </c:pt>
                <c:pt idx="4">
                  <c:v>-18</c:v>
                </c:pt>
                <c:pt idx="5">
                  <c:v>-15</c:v>
                </c:pt>
                <c:pt idx="6">
                  <c:v>-12</c:v>
                </c:pt>
                <c:pt idx="7">
                  <c:v>-9</c:v>
                </c:pt>
                <c:pt idx="8">
                  <c:v>-6</c:v>
                </c:pt>
                <c:pt idx="9">
                  <c:v>-3</c:v>
                </c:pt>
                <c:pt idx="10">
                  <c:v>0</c:v>
                </c:pt>
              </c:numCache>
            </c:numRef>
          </c:cat>
          <c:val>
            <c:numRef>
              <c:f>Sheet1!$D$2:$D$10</c:f>
              <c:numCache>
                <c:formatCode>General</c:formatCode>
                <c:ptCount val="9"/>
                <c:pt idx="0">
                  <c:v>18.061799739838872</c:v>
                </c:pt>
                <c:pt idx="1">
                  <c:v>24.608978427565479</c:v>
                </c:pt>
                <c:pt idx="2">
                  <c:v>29.542425094393248</c:v>
                </c:pt>
                <c:pt idx="3">
                  <c:v>35.706596700215343</c:v>
                </c:pt>
                <c:pt idx="4">
                  <c:v>41.938200260161125</c:v>
                </c:pt>
                <c:pt idx="5">
                  <c:v>44.860760973725888</c:v>
                </c:pt>
                <c:pt idx="6">
                  <c:v>47.234556720351861</c:v>
                </c:pt>
                <c:pt idx="7">
                  <c:v>50.370278797557752</c:v>
                </c:pt>
                <c:pt idx="8">
                  <c:v>52.464985807958008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6-4E32-8F05-DB50C90D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986800"/>
        <c:axId val="1068131680"/>
      </c:lineChart>
      <c:catAx>
        <c:axId val="198598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Power In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31680"/>
        <c:crosses val="autoZero"/>
        <c:auto val="1"/>
        <c:lblAlgn val="ctr"/>
        <c:lblOffset val="100"/>
        <c:noMultiLvlLbl val="0"/>
      </c:catAx>
      <c:valAx>
        <c:axId val="10681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Output Voltage (20*log(mV))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8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263525</xdr:colOff>
      <xdr:row>12</xdr:row>
      <xdr:rowOff>117474</xdr:rowOff>
    </xdr:from>
    <xdr:to>
      <xdr:col>14</xdr:col>
      <xdr:colOff>568325</xdr:colOff>
      <xdr:row>28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7CDEF-65D2-1EC5-BB02-1E39F87E0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39E1-D347-4972-8BE8-512071A2B8F8}">
  <dimension ref="A1:E12"/>
  <sheetViews>
    <sheetView tabSelected="1" workbookViewId="0">
      <selection activeCell="P9" sqref="P9"/>
    </sheetView>
  </sheetViews>
  <sheetFormatPr defaultRowHeight="14.5" x14ac:dyDescent="0.35"/>
  <cols>
    <col min="1" max="1" width="12.81640625" customWidth="1"/>
    <col min="2" max="2" width="13.26953125" customWidth="1"/>
    <col min="3" max="3" width="15.6328125" customWidth="1"/>
  </cols>
  <sheetData>
    <row r="1" spans="1:5" x14ac:dyDescent="0.35">
      <c r="A1" t="s">
        <v>0</v>
      </c>
      <c r="B1" t="s">
        <v>2</v>
      </c>
      <c r="C1" t="s">
        <v>3</v>
      </c>
    </row>
    <row r="2" spans="1:5" x14ac:dyDescent="0.35">
      <c r="A2">
        <v>-30</v>
      </c>
      <c r="B2">
        <v>8</v>
      </c>
      <c r="C2">
        <v>12</v>
      </c>
      <c r="D2">
        <f>20*LOG10(B2)</f>
        <v>18.061799739838872</v>
      </c>
      <c r="E2">
        <f>20*LOG10(C2)</f>
        <v>21.583624920952499</v>
      </c>
    </row>
    <row r="3" spans="1:5" x14ac:dyDescent="0.35">
      <c r="A3">
        <v>-27</v>
      </c>
      <c r="B3">
        <v>17</v>
      </c>
      <c r="C3">
        <v>22</v>
      </c>
      <c r="D3">
        <f t="shared" ref="D3:D10" si="0">20*LOG10(B3)</f>
        <v>24.608978427565479</v>
      </c>
      <c r="E3">
        <f t="shared" ref="E3:E12" si="1">20*LOG10(C3)</f>
        <v>26.848453616444125</v>
      </c>
    </row>
    <row r="4" spans="1:5" x14ac:dyDescent="0.35">
      <c r="A4">
        <v>-24</v>
      </c>
      <c r="B4">
        <v>30</v>
      </c>
      <c r="C4">
        <v>42</v>
      </c>
      <c r="D4">
        <f t="shared" si="0"/>
        <v>29.542425094393248</v>
      </c>
      <c r="E4">
        <f t="shared" si="1"/>
        <v>32.464985807958008</v>
      </c>
    </row>
    <row r="5" spans="1:5" x14ac:dyDescent="0.35">
      <c r="A5">
        <v>-21</v>
      </c>
      <c r="B5">
        <v>61</v>
      </c>
      <c r="C5">
        <v>71</v>
      </c>
      <c r="D5">
        <f t="shared" si="0"/>
        <v>35.706596700215343</v>
      </c>
      <c r="E5">
        <f t="shared" si="1"/>
        <v>37.025166974381506</v>
      </c>
    </row>
    <row r="6" spans="1:5" x14ac:dyDescent="0.35">
      <c r="A6">
        <v>-18</v>
      </c>
      <c r="B6">
        <v>125</v>
      </c>
      <c r="C6">
        <v>123</v>
      </c>
      <c r="D6">
        <f t="shared" si="0"/>
        <v>41.938200260161125</v>
      </c>
      <c r="E6">
        <f t="shared" si="1"/>
        <v>41.798102228787961</v>
      </c>
    </row>
    <row r="7" spans="1:5" x14ac:dyDescent="0.35">
      <c r="A7">
        <v>-15</v>
      </c>
      <c r="B7">
        <v>175</v>
      </c>
      <c r="C7">
        <v>205</v>
      </c>
      <c r="D7">
        <f t="shared" si="0"/>
        <v>44.860760973725888</v>
      </c>
      <c r="E7">
        <f t="shared" si="1"/>
        <v>46.235077221115084</v>
      </c>
    </row>
    <row r="8" spans="1:5" x14ac:dyDescent="0.35">
      <c r="A8">
        <v>-12</v>
      </c>
      <c r="B8">
        <v>230</v>
      </c>
      <c r="C8">
        <v>300</v>
      </c>
      <c r="D8">
        <f t="shared" si="0"/>
        <v>47.234556720351861</v>
      </c>
      <c r="E8">
        <f t="shared" si="1"/>
        <v>49.542425094393252</v>
      </c>
    </row>
    <row r="9" spans="1:5" x14ac:dyDescent="0.35">
      <c r="A9">
        <v>-9</v>
      </c>
      <c r="B9">
        <v>330</v>
      </c>
      <c r="C9">
        <v>500</v>
      </c>
      <c r="D9">
        <f t="shared" si="0"/>
        <v>50.370278797557752</v>
      </c>
      <c r="E9">
        <f t="shared" si="1"/>
        <v>53.979400086720375</v>
      </c>
    </row>
    <row r="10" spans="1:5" x14ac:dyDescent="0.35">
      <c r="A10">
        <v>-6</v>
      </c>
      <c r="B10">
        <v>420</v>
      </c>
      <c r="C10">
        <v>710</v>
      </c>
      <c r="D10">
        <f t="shared" si="0"/>
        <v>52.464985807958008</v>
      </c>
      <c r="E10">
        <f t="shared" si="1"/>
        <v>57.025166974381506</v>
      </c>
    </row>
    <row r="11" spans="1:5" x14ac:dyDescent="0.35">
      <c r="A11">
        <v>-3</v>
      </c>
      <c r="B11" t="s">
        <v>1</v>
      </c>
      <c r="C11">
        <v>1150</v>
      </c>
      <c r="E11">
        <f t="shared" si="1"/>
        <v>61.213956807072236</v>
      </c>
    </row>
    <row r="12" spans="1:5" x14ac:dyDescent="0.35">
      <c r="A12">
        <v>0</v>
      </c>
      <c r="B12" t="s">
        <v>1</v>
      </c>
      <c r="C12">
        <v>1590</v>
      </c>
      <c r="E12">
        <f t="shared" si="1"/>
        <v>64.027942486409032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Witt</dc:creator>
  <cp:lastModifiedBy>Ryan Witt</cp:lastModifiedBy>
  <dcterms:created xsi:type="dcterms:W3CDTF">2026-10-28T18:05:06Z</dcterms:created>
  <dcterms:modified xsi:type="dcterms:W3CDTF">2026-10-31T00:07:54Z</dcterms:modified>
</cp:coreProperties>
</file>